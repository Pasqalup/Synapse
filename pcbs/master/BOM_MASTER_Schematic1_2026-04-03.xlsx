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qa\Downloads\"/>
    </mc:Choice>
  </mc:AlternateContent>
  <xr:revisionPtr revIDLastSave="0" documentId="8_{A46DC390-83E5-4993-B140-591F56AAB75C}" xr6:coauthVersionLast="47" xr6:coauthVersionMax="47" xr10:uidLastSave="{00000000-0000-0000-0000-000000000000}"/>
  <bookViews>
    <workbookView xWindow="-120" yWindow="-120" windowWidth="29040" windowHeight="15720" xr2:uid="{1008979B-F554-4397-834E-80BE02B3C300}"/>
  </bookViews>
  <sheets>
    <sheet name="BOM_MASTER_Schematic1_2026-04-0" sheetId="1" r:id="rId1"/>
  </sheets>
  <calcPr calcId="0"/>
</workbook>
</file>

<file path=xl/calcChain.xml><?xml version="1.0" encoding="utf-8"?>
<calcChain xmlns="http://schemas.openxmlformats.org/spreadsheetml/2006/main">
  <c r="K11" i="1" l="1"/>
  <c r="K14" i="1"/>
  <c r="K15" i="1"/>
  <c r="K16" i="1"/>
  <c r="K17" i="1"/>
  <c r="K18" i="1"/>
  <c r="K19" i="1"/>
  <c r="K9" i="1"/>
  <c r="K4" i="1"/>
  <c r="K2" i="1"/>
  <c r="K3" i="1"/>
  <c r="K5" i="1"/>
  <c r="K6" i="1"/>
  <c r="K7" i="1"/>
  <c r="K8" i="1"/>
  <c r="K10" i="1"/>
  <c r="K12" i="1"/>
  <c r="K13" i="1"/>
  <c r="K26" i="1"/>
  <c r="K27" i="1"/>
  <c r="K28" i="1"/>
  <c r="K20" i="1"/>
  <c r="K21" i="1"/>
  <c r="K22" i="1"/>
  <c r="K23" i="1"/>
  <c r="K24" i="1"/>
  <c r="K25" i="1"/>
</calcChain>
</file>

<file path=xl/sharedStrings.xml><?xml version="1.0" encoding="utf-8"?>
<sst xmlns="http://schemas.openxmlformats.org/spreadsheetml/2006/main" count="201" uniqueCount="149">
  <si>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</si>
  <si>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</si>
  <si>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</si>
  <si>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</si>
  <si>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</si>
  <si>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</si>
  <si>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</si>
  <si>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</si>
  <si>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</si>
  <si>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</si>
  <si>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</si>
  <si>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C1,C2,C3,C4,C5,C8,C20,C21,C22</t>
  </si>
  <si>
    <t>C0603</t>
  </si>
  <si>
    <t>2.2uF</t>
  </si>
  <si>
    <t>C6,C16,C17</t>
  </si>
  <si>
    <t>470pF</t>
  </si>
  <si>
    <t>C7</t>
  </si>
  <si>
    <t>22uF</t>
  </si>
  <si>
    <t>C9,C10</t>
  </si>
  <si>
    <t>10uF</t>
  </si>
  <si>
    <t>C11</t>
  </si>
  <si>
    <t>CAP-TH_BD5.0-P2.00-D0.8-FD</t>
  </si>
  <si>
    <t>ERS1HM100D11OT</t>
  </si>
  <si>
    <t>AISHI(艾华集团)</t>
  </si>
  <si>
    <t>C106654</t>
  </si>
  <si>
    <t>LCSC</t>
  </si>
  <si>
    <t>100uF</t>
  </si>
  <si>
    <t>C12</t>
  </si>
  <si>
    <t>CAP-TH_BD6.0-P2.50-D0.5-FD</t>
  </si>
  <si>
    <t>KM1V101M0611</t>
  </si>
  <si>
    <t>ROQANG(容强)</t>
  </si>
  <si>
    <t>C2873963</t>
  </si>
  <si>
    <t>C14,C15</t>
  </si>
  <si>
    <t>CAP-TH_BD4.0-P1.50-D0.8-FD</t>
  </si>
  <si>
    <t>KS226M025C07RR0VH2FP0</t>
  </si>
  <si>
    <t>Chengx(承兴)</t>
  </si>
  <si>
    <t>C43840</t>
  </si>
  <si>
    <t>30pF</t>
  </si>
  <si>
    <t>C18,C19</t>
  </si>
  <si>
    <t>1N4148W</t>
  </si>
  <si>
    <t>D1,D2</t>
  </si>
  <si>
    <t>SOD-123_L2.7-W1.6-LS3.7-FD</t>
  </si>
  <si>
    <t>R+O(宏嘉诚)</t>
  </si>
  <si>
    <t>C7420318</t>
  </si>
  <si>
    <t>HDR-M_2.54_2x5</t>
  </si>
  <si>
    <t>DEBUG1</t>
  </si>
  <si>
    <t>HDR-TH_10P-P2.54-V-M-R2-C5-S2.54</t>
  </si>
  <si>
    <t>1.5uH</t>
  </si>
  <si>
    <t>L2</t>
  </si>
  <si>
    <t>IND-SMD_L7.0-W6.6</t>
  </si>
  <si>
    <t>FXL0630-1R5-M</t>
  </si>
  <si>
    <t>cjiang(长江微电)</t>
  </si>
  <si>
    <t>C167217</t>
  </si>
  <si>
    <t>WS2812B-B/T</t>
  </si>
  <si>
    <t>LED1,LED2,LED3</t>
  </si>
  <si>
    <t>LED-SMD_4P-L5.0-W5.0-TL_WS2812B-B</t>
  </si>
  <si>
    <t>worldsemi</t>
  </si>
  <si>
    <t>C2761795</t>
  </si>
  <si>
    <t>10K</t>
  </si>
  <si>
    <t>R5,R8,R9</t>
  </si>
  <si>
    <t>R0603</t>
  </si>
  <si>
    <t>100K</t>
  </si>
  <si>
    <t>R7</t>
  </si>
  <si>
    <t>1K</t>
  </si>
  <si>
    <t>R10</t>
  </si>
  <si>
    <t>5.1K</t>
  </si>
  <si>
    <t>R11,R12</t>
  </si>
  <si>
    <t>22R</t>
  </si>
  <si>
    <t>R13,R14</t>
  </si>
  <si>
    <t>120R</t>
  </si>
  <si>
    <t>R15,R16,R17,R18</t>
  </si>
  <si>
    <t>S2B-PH-K-S(LF)(SN)</t>
  </si>
  <si>
    <t>RS485OUT1,RS485OUT2,RS485OUT3,RS485OUT4</t>
  </si>
  <si>
    <t>CONN-TH_S2B-PH-K-S-LF-SN</t>
  </si>
  <si>
    <t>JST</t>
  </si>
  <si>
    <t>C173752</t>
  </si>
  <si>
    <t>TS-1088-AR02016</t>
  </si>
  <si>
    <t>SW1,SW2</t>
  </si>
  <si>
    <t>SW-SMD_L3.9-W3.0-P4.45</t>
  </si>
  <si>
    <t>XUNPU(讯普)</t>
  </si>
  <si>
    <t>C720477</t>
  </si>
  <si>
    <t>STM32F405RGT6</t>
  </si>
  <si>
    <t>U1</t>
  </si>
  <si>
    <t>LQFP-64_L10.0-W10.0-P0.50-LS12.0-BL</t>
  </si>
  <si>
    <t>ST(意法半导体)</t>
  </si>
  <si>
    <t>C15742</t>
  </si>
  <si>
    <t>MAX485ESA(UMW)</t>
  </si>
  <si>
    <t>U2,U3,U4,U5</t>
  </si>
  <si>
    <t>SOP-8_L5.0-W4.0-P1.27-LS6.0-BL</t>
  </si>
  <si>
    <t>UMW(友台半导体)</t>
  </si>
  <si>
    <t>C668206</t>
  </si>
  <si>
    <t>AMS1117-3.3</t>
  </si>
  <si>
    <t>U6</t>
  </si>
  <si>
    <t>SOT-223-3_L6.5-W3.4-P2.30-LS7.0-BR</t>
  </si>
  <si>
    <t>AMS</t>
  </si>
  <si>
    <t>C6186</t>
  </si>
  <si>
    <t>TPS513885VABR</t>
  </si>
  <si>
    <t>U7</t>
  </si>
  <si>
    <t>VQFN-HR-13_L4.0-W3.0_TPS51388VABR</t>
  </si>
  <si>
    <t>TI(德州仪器)</t>
  </si>
  <si>
    <t>C41935536</t>
  </si>
  <si>
    <t>KF301-5.0-3P</t>
  </si>
  <si>
    <t>U8,U9</t>
  </si>
  <si>
    <t>CONN-TH_3P-P5.00_KF301-5.0-3P</t>
  </si>
  <si>
    <t>KEFA(科发)</t>
  </si>
  <si>
    <t>C474882</t>
  </si>
  <si>
    <t>TYPE-C-31-M-12</t>
  </si>
  <si>
    <t>USBC1</t>
  </si>
  <si>
    <t>USB-C_SMD-TYPE-C-31-M-12_1</t>
  </si>
  <si>
    <t>韩国韩荣</t>
  </si>
  <si>
    <t>C165948</t>
  </si>
  <si>
    <t>8MHz</t>
  </si>
  <si>
    <t>X2</t>
  </si>
  <si>
    <t>CRYSTAL-SMD_4P-L3.2-W2.5-BL</t>
  </si>
  <si>
    <t>X32258MOB4SI</t>
  </si>
  <si>
    <t>YXC(扬兴晶振)</t>
  </si>
  <si>
    <t>C2682775</t>
  </si>
  <si>
    <t>https://www.aliexpress.us/item/3256806456550715.html</t>
  </si>
  <si>
    <t>Primary Link (LCSC)</t>
  </si>
  <si>
    <t>C59461</t>
  </si>
  <si>
    <t>C282519</t>
  </si>
  <si>
    <t>C23630</t>
  </si>
  <si>
    <t>C1620</t>
  </si>
  <si>
    <t>C53084491</t>
  </si>
  <si>
    <t>C2907113</t>
  </si>
  <si>
    <t>C2907044</t>
  </si>
  <si>
    <t>C2930027</t>
  </si>
  <si>
    <t>C2907088</t>
  </si>
  <si>
    <t>C2907129</t>
  </si>
  <si>
    <t>C2907096</t>
  </si>
  <si>
    <t>Secondary Link (Aliexpress</t>
  </si>
  <si>
    <t>Aliexpress notes</t>
  </si>
  <si>
    <t>3P BLUE</t>
  </si>
  <si>
    <t>https://www.aliexpress.us/item/3256805982757385.html</t>
  </si>
  <si>
    <t>https://www.aliexpress.us/item/3256806598014429.html?</t>
  </si>
  <si>
    <t>603 2250pcs</t>
  </si>
  <si>
    <t>0603</t>
  </si>
  <si>
    <t>M 16 pin</t>
  </si>
  <si>
    <t>https://www.aliexpress.us/item/3256807233054512.html</t>
  </si>
  <si>
    <t>https://www.aliexpress.us/item/3256809198048306.html?</t>
  </si>
  <si>
    <t>8M</t>
  </si>
  <si>
    <t>https://www.aliexpress.us/item/3256808371143881.html?</t>
  </si>
  <si>
    <t>https://www.aliexpress.us/item/3256804121350843.html?</t>
  </si>
  <si>
    <t>https://www.aliexpress.us/item/3256802928739446.html</t>
  </si>
  <si>
    <t>right angle  ph2.0mm 10pcs 2p</t>
  </si>
  <si>
    <t>https://www.aliexpress.us/item/3256806974248533.html</t>
  </si>
  <si>
    <t>https://www.aliexpress.us/item/2255800801798474.html</t>
  </si>
  <si>
    <t>2x5 pin</t>
  </si>
  <si>
    <t>C492422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</si>
</sst>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2907096.html?s_z=s_Passives%257CResistors%257CChip%2520Resistor%2520-%2520Surface%2520Mount" TargetMode="External"/><Relationship Id="rId3" Type="http://schemas.openxmlformats.org/officeDocument/2006/relationships/hyperlink" Target="https://www.lcsc.com/product-detail/C2907113.html?s_z=s_Passives%257CResistors%257CChip%2520Resistor%2520-%2520Surface%2520Mount" TargetMode="External"/><Relationship Id="rId7" Type="http://schemas.openxmlformats.org/officeDocument/2006/relationships/hyperlink" Target="https://www.lcsc.com/product-detail/C2907129.html?s_z=s_Passives%257CResistors%257CChip%2520Resistor%2520-%2520Surface%2520Mount" TargetMode="External"/><Relationship Id="rId2" Type="http://schemas.openxmlformats.org/officeDocument/2006/relationships/hyperlink" Target="https://www.lcsc.com/product-detail/C53084491.html?s_z=s_Passives%257CCapacitors%257CCeramic%2520Capacitors" TargetMode="External"/><Relationship Id="rId1" Type="http://schemas.openxmlformats.org/officeDocument/2006/relationships/hyperlink" Target="https://www.lcsc.com/product-detail/C1620.html?s_z=s_Passives%257CCapacitors%257CCeramic%2520Capacitors" TargetMode="External"/><Relationship Id="rId6" Type="http://schemas.openxmlformats.org/officeDocument/2006/relationships/hyperlink" Target="https://www.lcsc.com/product-detail/C2907088.html?s_z=s_Passives%257CResistors%257CChip%2520Resistor%2520-%2520Surface%2520Mount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C2930027.html?s_z=s_Passives%257CResistors%257CChip%2520Resistor%2520-%2520Surface%2520Mount" TargetMode="External"/><Relationship Id="rId10" Type="http://schemas.openxmlformats.org/officeDocument/2006/relationships/hyperlink" Target="https://www.lcsc.com/product-detail/C492422.html" TargetMode="External"/><Relationship Id="rId4" Type="http://schemas.openxmlformats.org/officeDocument/2006/relationships/hyperlink" Target="https://www.lcsc.com/product-detail/C2907044.html?s_z=s_Passives%257CResistors%257CChip%2520Resistor%2520-%2520Surface%2520Mount" TargetMode="External"/><Relationship Id="rId9" Type="http://schemas.openxmlformats.org/officeDocument/2006/relationships/hyperlink" Target="https://www.aliexpress.us/item/32568072330545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1A86-49AC-484C-9A17-DEC91E7FFA84}">
  <dimension ref="A1:M28"/>
  <sheetViews>
    <sheetView tabSelected="1" topLeftCell="A4" workbookViewId="0">
      <selection activeCell="K6" sqref="K6"/>
    </sheetView>
  </sheetViews>
  <sheetFormatPr defaultRowHeight="15" x14ac:dyDescent="0.25"/>
  <cols>
    <col min="11" max="11" width="50.5703125" customWidth="1"/>
    <col min="12" max="12" width="50.42578125" customWidth="1"/>
    <col min="13" max="13" width="23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118</v>
      </c>
      <c r="L1" t="s">
        <v>130</v>
      </c>
      <c r="M1" t="s">
        <v>131</v>
      </c>
    </row>
    <row r="2" spans="1:13" x14ac:dyDescent="0.25">
      <c r="A2">
        <v>1</v>
      </c>
      <c r="B2">
        <v>9</v>
      </c>
      <c r="C2" t="s">
        <v>10</v>
      </c>
      <c r="D2" t="s">
        <v>11</v>
      </c>
      <c r="E2" t="s">
        <v>12</v>
      </c>
      <c r="F2" t="s">
        <v>10</v>
      </c>
      <c r="I2" s="1" t="s">
        <v>120</v>
      </c>
      <c r="K2" s="1" t="str">
        <f>HYPERLINK(_xlfn.TEXTJOIN("",FALSE,"https://www.lcsc.com/product-detail/",I2,".html"))</f>
        <v>https://www.lcsc.com/product-detail/C282519.html</v>
      </c>
    </row>
    <row r="3" spans="1:13" x14ac:dyDescent="0.25">
      <c r="A3">
        <v>2</v>
      </c>
      <c r="B3">
        <v>3</v>
      </c>
      <c r="C3" t="s">
        <v>13</v>
      </c>
      <c r="D3" t="s">
        <v>14</v>
      </c>
      <c r="E3" t="s">
        <v>12</v>
      </c>
      <c r="F3" t="s">
        <v>13</v>
      </c>
      <c r="I3" t="s">
        <v>121</v>
      </c>
      <c r="K3" s="1" t="str">
        <f>HYPERLINK(_xlfn.TEXTJOIN("",FALSE,"https://www.lcsc.com/product-detail/",I3,".html"))</f>
        <v>https://www.lcsc.com/product-detail/C23630.html</v>
      </c>
    </row>
    <row r="4" spans="1:13" x14ac:dyDescent="0.25">
      <c r="A4">
        <v>3</v>
      </c>
      <c r="B4">
        <v>1</v>
      </c>
      <c r="C4" t="s">
        <v>15</v>
      </c>
      <c r="D4" t="s">
        <v>16</v>
      </c>
      <c r="E4" t="s">
        <v>12</v>
      </c>
      <c r="F4" t="s">
        <v>15</v>
      </c>
      <c r="I4" s="1" t="s">
        <v>122</v>
      </c>
      <c r="K4" s="1" t="str">
        <f>HYPERLINK(_xlfn.TEXTJOIN("",FALSE,"https://www.lcsc.com/product-detail/",I4,".html"))</f>
        <v>https://www.lcsc.com/product-detail/C1620.html</v>
      </c>
      <c r="L4" t="s">
        <v>134</v>
      </c>
      <c r="M4" t="s">
        <v>135</v>
      </c>
    </row>
    <row r="5" spans="1:13" x14ac:dyDescent="0.25">
      <c r="A5">
        <v>4</v>
      </c>
      <c r="B5">
        <v>2</v>
      </c>
      <c r="C5" t="s">
        <v>17</v>
      </c>
      <c r="D5" t="s">
        <v>18</v>
      </c>
      <c r="E5" t="s">
        <v>12</v>
      </c>
      <c r="F5" t="s">
        <v>17</v>
      </c>
      <c r="I5" t="s">
        <v>119</v>
      </c>
      <c r="K5" s="1" t="str">
        <f t="shared" ref="K4:K7" si="0">HYPERLINK(_xlfn.TEXTJOIN("",FALSE,"https://www.lcsc.com/product-detail/",I5,".html"))</f>
        <v>https://www.lcsc.com/product-detail/C59461.html</v>
      </c>
    </row>
    <row r="6" spans="1:13" x14ac:dyDescent="0.25">
      <c r="A6">
        <v>5</v>
      </c>
      <c r="B6">
        <v>1</v>
      </c>
      <c r="C6" t="s">
        <v>19</v>
      </c>
      <c r="D6" t="s">
        <v>20</v>
      </c>
      <c r="E6" t="s">
        <v>21</v>
      </c>
      <c r="F6" t="s">
        <v>19</v>
      </c>
      <c r="G6" t="s">
        <v>22</v>
      </c>
      <c r="H6" t="s">
        <v>23</v>
      </c>
      <c r="I6" t="s">
        <v>24</v>
      </c>
      <c r="J6" t="s">
        <v>25</v>
      </c>
      <c r="K6" s="1" t="str">
        <f t="shared" si="0"/>
        <v>https://www.lcsc.com/product-detail/C106654.html</v>
      </c>
    </row>
    <row r="7" spans="1:13" x14ac:dyDescent="0.25">
      <c r="A7">
        <v>6</v>
      </c>
      <c r="B7">
        <v>1</v>
      </c>
      <c r="C7" t="s">
        <v>26</v>
      </c>
      <c r="D7" t="s">
        <v>27</v>
      </c>
      <c r="E7" t="s">
        <v>28</v>
      </c>
      <c r="F7" t="s">
        <v>26</v>
      </c>
      <c r="G7" t="s">
        <v>29</v>
      </c>
      <c r="H7" t="s">
        <v>30</v>
      </c>
      <c r="I7" t="s">
        <v>31</v>
      </c>
      <c r="J7" t="s">
        <v>25</v>
      </c>
      <c r="K7" s="1" t="str">
        <f t="shared" si="0"/>
        <v>https://www.lcsc.com/product-detail/C2873963.html</v>
      </c>
    </row>
    <row r="8" spans="1:13" x14ac:dyDescent="0.25">
      <c r="A8">
        <v>7</v>
      </c>
      <c r="B8">
        <v>2</v>
      </c>
      <c r="C8" t="s">
        <v>17</v>
      </c>
      <c r="D8" t="s">
        <v>32</v>
      </c>
      <c r="E8" t="s">
        <v>33</v>
      </c>
      <c r="F8" t="s">
        <v>17</v>
      </c>
      <c r="G8" t="s">
        <v>34</v>
      </c>
      <c r="H8" t="s">
        <v>35</v>
      </c>
      <c r="I8" t="s">
        <v>36</v>
      </c>
      <c r="J8" t="s">
        <v>25</v>
      </c>
      <c r="K8" s="1" t="str">
        <f>HYPERLINK(_xlfn.TEXTJOIN("",FALSE,"https://www.lcsc.com/product-detail/",I8,".html"))</f>
        <v>https://www.lcsc.com/product-detail/C43840.html</v>
      </c>
    </row>
    <row r="9" spans="1:13" x14ac:dyDescent="0.25">
      <c r="A9">
        <v>8</v>
      </c>
      <c r="B9">
        <v>2</v>
      </c>
      <c r="C9" t="s">
        <v>37</v>
      </c>
      <c r="D9" t="s">
        <v>38</v>
      </c>
      <c r="E9" t="s">
        <v>12</v>
      </c>
      <c r="F9" t="s">
        <v>37</v>
      </c>
      <c r="I9" s="1" t="s">
        <v>123</v>
      </c>
      <c r="K9" s="1" t="str">
        <f>HYPERLINK(_xlfn.TEXTJOIN("",FALSE,"https://www.lcsc.com/product-detail/",I9,".html"))</f>
        <v>https://www.lcsc.com/product-detail/C53084491.html</v>
      </c>
    </row>
    <row r="10" spans="1:13" x14ac:dyDescent="0.25">
      <c r="A10">
        <v>9</v>
      </c>
      <c r="B10">
        <v>2</v>
      </c>
      <c r="C10" t="s">
        <v>39</v>
      </c>
      <c r="D10" t="s">
        <v>40</v>
      </c>
      <c r="E10" t="s">
        <v>41</v>
      </c>
      <c r="G10" t="s">
        <v>39</v>
      </c>
      <c r="H10" t="s">
        <v>42</v>
      </c>
      <c r="I10" t="s">
        <v>43</v>
      </c>
      <c r="J10" t="s">
        <v>25</v>
      </c>
      <c r="K10" s="1" t="str">
        <f>HYPERLINK(_xlfn.TEXTJOIN("",FALSE,"https://www.lcsc.com/product-detail/",I10,".html"))</f>
        <v>https://www.lcsc.com/product-detail/C7420318.html</v>
      </c>
      <c r="L10" t="s">
        <v>145</v>
      </c>
      <c r="M10" t="s">
        <v>39</v>
      </c>
    </row>
    <row r="11" spans="1:13" x14ac:dyDescent="0.25">
      <c r="A11">
        <v>10</v>
      </c>
      <c r="B11">
        <v>1</v>
      </c>
      <c r="C11" t="s">
        <v>44</v>
      </c>
      <c r="D11" t="s">
        <v>45</v>
      </c>
      <c r="E11" t="s">
        <v>46</v>
      </c>
      <c r="I11" s="1" t="s">
        <v>148</v>
      </c>
      <c r="K11" s="1" t="str">
        <f>HYPERLINK(_xlfn.TEXTJOIN("",FALSE,"https://www.lcsc.com/product-detail/",I11,".html"))</f>
        <v>https://www.lcsc.com/product-detail/C492422.html</v>
      </c>
      <c r="L11" t="s">
        <v>146</v>
      </c>
      <c r="M11" t="s">
        <v>147</v>
      </c>
    </row>
    <row r="12" spans="1:13" x14ac:dyDescent="0.25">
      <c r="A12">
        <v>11</v>
      </c>
      <c r="B12">
        <v>1</v>
      </c>
      <c r="C12" t="s">
        <v>47</v>
      </c>
      <c r="D12" t="s">
        <v>48</v>
      </c>
      <c r="E12" t="s">
        <v>49</v>
      </c>
      <c r="F12" t="s">
        <v>47</v>
      </c>
      <c r="G12" t="s">
        <v>50</v>
      </c>
      <c r="H12" t="s">
        <v>51</v>
      </c>
      <c r="I12" t="s">
        <v>52</v>
      </c>
      <c r="J12" t="s">
        <v>25</v>
      </c>
      <c r="K12" s="1" t="str">
        <f>HYPERLINK(_xlfn.TEXTJOIN("",FALSE,"https://www.lcsc.com/product-detail/",I12,".html"))</f>
        <v>https://www.lcsc.com/product-detail/C167217.html</v>
      </c>
    </row>
    <row r="13" spans="1:13" x14ac:dyDescent="0.25">
      <c r="A13">
        <v>12</v>
      </c>
      <c r="B13">
        <v>3</v>
      </c>
      <c r="C13" t="s">
        <v>53</v>
      </c>
      <c r="D13" t="s">
        <v>54</v>
      </c>
      <c r="E13" t="s">
        <v>55</v>
      </c>
      <c r="G13" t="s">
        <v>53</v>
      </c>
      <c r="H13" t="s">
        <v>56</v>
      </c>
      <c r="I13" t="s">
        <v>57</v>
      </c>
      <c r="J13" t="s">
        <v>25</v>
      </c>
      <c r="K13" s="1" t="str">
        <f t="shared" ref="K13:K19" si="1">HYPERLINK(_xlfn.TEXTJOIN("",TRUE,"https://www.lcsc.com/product-detail/",I13,".html"))</f>
        <v>https://www.lcsc.com/product-detail/C2761795.html</v>
      </c>
    </row>
    <row r="14" spans="1:13" x14ac:dyDescent="0.25">
      <c r="A14">
        <v>13</v>
      </c>
      <c r="B14">
        <v>3</v>
      </c>
      <c r="C14" t="s">
        <v>58</v>
      </c>
      <c r="D14" t="s">
        <v>59</v>
      </c>
      <c r="E14" t="s">
        <v>60</v>
      </c>
      <c r="F14" t="s">
        <v>58</v>
      </c>
      <c r="I14" s="1" t="s">
        <v>126</v>
      </c>
      <c r="K14" s="1" t="str">
        <f t="shared" si="1"/>
        <v>https://www.lcsc.com/product-detail/C2930027.html</v>
      </c>
    </row>
    <row r="15" spans="1:13" x14ac:dyDescent="0.25">
      <c r="A15">
        <v>14</v>
      </c>
      <c r="B15">
        <v>1</v>
      </c>
      <c r="C15" t="s">
        <v>61</v>
      </c>
      <c r="D15" t="s">
        <v>62</v>
      </c>
      <c r="E15" t="s">
        <v>60</v>
      </c>
      <c r="F15" t="s">
        <v>61</v>
      </c>
      <c r="I15" s="1" t="s">
        <v>127</v>
      </c>
      <c r="K15" s="1" t="str">
        <f t="shared" si="1"/>
        <v>https://www.lcsc.com/product-detail/C2907088.html</v>
      </c>
      <c r="L15" t="s">
        <v>133</v>
      </c>
      <c r="M15" s="2" t="s">
        <v>136</v>
      </c>
    </row>
    <row r="16" spans="1:13" x14ac:dyDescent="0.25">
      <c r="A16">
        <v>15</v>
      </c>
      <c r="B16">
        <v>1</v>
      </c>
      <c r="C16" t="s">
        <v>63</v>
      </c>
      <c r="D16" t="s">
        <v>64</v>
      </c>
      <c r="E16" t="s">
        <v>60</v>
      </c>
      <c r="F16" t="s">
        <v>63</v>
      </c>
      <c r="I16" s="1" t="s">
        <v>124</v>
      </c>
      <c r="K16" s="1" t="str">
        <f t="shared" si="1"/>
        <v>https://www.lcsc.com/product-detail/C2907113.html</v>
      </c>
    </row>
    <row r="17" spans="1:13" x14ac:dyDescent="0.25">
      <c r="A17">
        <v>16</v>
      </c>
      <c r="B17">
        <v>2</v>
      </c>
      <c r="C17" t="s">
        <v>65</v>
      </c>
      <c r="D17" t="s">
        <v>66</v>
      </c>
      <c r="E17" t="s">
        <v>60</v>
      </c>
      <c r="F17" t="s">
        <v>65</v>
      </c>
      <c r="I17" s="1" t="s">
        <v>125</v>
      </c>
      <c r="K17" s="1" t="str">
        <f t="shared" si="1"/>
        <v>https://www.lcsc.com/product-detail/C2907044.html</v>
      </c>
    </row>
    <row r="18" spans="1:13" x14ac:dyDescent="0.25">
      <c r="A18">
        <v>17</v>
      </c>
      <c r="B18">
        <v>2</v>
      </c>
      <c r="C18" t="s">
        <v>67</v>
      </c>
      <c r="D18" t="s">
        <v>68</v>
      </c>
      <c r="E18" t="s">
        <v>60</v>
      </c>
      <c r="F18" t="s">
        <v>67</v>
      </c>
      <c r="I18" s="1" t="s">
        <v>128</v>
      </c>
      <c r="K18" s="1" t="str">
        <f t="shared" si="1"/>
        <v>https://www.lcsc.com/product-detail/C2907129.html</v>
      </c>
    </row>
    <row r="19" spans="1:13" x14ac:dyDescent="0.25">
      <c r="A19">
        <v>18</v>
      </c>
      <c r="B19">
        <v>4</v>
      </c>
      <c r="C19" t="s">
        <v>69</v>
      </c>
      <c r="D19" t="s">
        <v>70</v>
      </c>
      <c r="E19" t="s">
        <v>60</v>
      </c>
      <c r="F19" t="s">
        <v>69</v>
      </c>
      <c r="I19" s="1" t="s">
        <v>129</v>
      </c>
      <c r="K19" s="1" t="str">
        <f t="shared" si="1"/>
        <v>https://www.lcsc.com/product-detail/C2907096.html</v>
      </c>
    </row>
    <row r="20" spans="1:13" x14ac:dyDescent="0.25">
      <c r="A20">
        <v>19</v>
      </c>
      <c r="B20">
        <v>4</v>
      </c>
      <c r="C20" t="s">
        <v>71</v>
      </c>
      <c r="D20" t="s">
        <v>72</v>
      </c>
      <c r="E20" t="s">
        <v>73</v>
      </c>
      <c r="G20" t="s">
        <v>71</v>
      </c>
      <c r="H20" t="s">
        <v>74</v>
      </c>
      <c r="I20" t="s">
        <v>75</v>
      </c>
      <c r="J20" t="s">
        <v>25</v>
      </c>
      <c r="K20" s="1" t="str">
        <f t="shared" ref="K20:K28" si="2">HYPERLINK(_xlfn.TEXTJOIN("",TRUE,"https://www.lcsc.com/product-detail/",I20,".html"))</f>
        <v>https://www.lcsc.com/product-detail/C173752.html</v>
      </c>
      <c r="L20" t="s">
        <v>143</v>
      </c>
      <c r="M20" t="s">
        <v>144</v>
      </c>
    </row>
    <row r="21" spans="1:13" x14ac:dyDescent="0.25">
      <c r="A21">
        <v>20</v>
      </c>
      <c r="B21">
        <v>2</v>
      </c>
      <c r="C21" t="s">
        <v>76</v>
      </c>
      <c r="D21" t="s">
        <v>77</v>
      </c>
      <c r="E21" t="s">
        <v>78</v>
      </c>
      <c r="G21" t="s">
        <v>76</v>
      </c>
      <c r="H21" t="s">
        <v>79</v>
      </c>
      <c r="I21" t="s">
        <v>80</v>
      </c>
      <c r="J21" t="s">
        <v>25</v>
      </c>
      <c r="K21" s="1" t="str">
        <f t="shared" si="2"/>
        <v>https://www.lcsc.com/product-detail/C720477.html</v>
      </c>
      <c r="L21" t="s">
        <v>142</v>
      </c>
    </row>
    <row r="22" spans="1:13" x14ac:dyDescent="0.25">
      <c r="A22">
        <v>21</v>
      </c>
      <c r="B22">
        <v>1</v>
      </c>
      <c r="C22" t="s">
        <v>81</v>
      </c>
      <c r="D22" t="s">
        <v>82</v>
      </c>
      <c r="E22" t="s">
        <v>83</v>
      </c>
      <c r="G22" t="s">
        <v>81</v>
      </c>
      <c r="H22" t="s">
        <v>84</v>
      </c>
      <c r="I22" t="s">
        <v>85</v>
      </c>
      <c r="J22" t="s">
        <v>25</v>
      </c>
      <c r="K22" s="1" t="str">
        <f t="shared" si="2"/>
        <v>https://www.lcsc.com/product-detail/C15742.html</v>
      </c>
    </row>
    <row r="23" spans="1:13" x14ac:dyDescent="0.25">
      <c r="A23">
        <v>22</v>
      </c>
      <c r="B23">
        <v>4</v>
      </c>
      <c r="C23" t="s">
        <v>86</v>
      </c>
      <c r="D23" t="s">
        <v>87</v>
      </c>
      <c r="E23" t="s">
        <v>88</v>
      </c>
      <c r="G23" t="s">
        <v>86</v>
      </c>
      <c r="H23" t="s">
        <v>89</v>
      </c>
      <c r="I23" t="s">
        <v>90</v>
      </c>
      <c r="J23" t="s">
        <v>25</v>
      </c>
      <c r="K23" s="1" t="str">
        <f t="shared" si="2"/>
        <v>https://www.lcsc.com/product-detail/C668206.html</v>
      </c>
    </row>
    <row r="24" spans="1:13" x14ac:dyDescent="0.25">
      <c r="A24">
        <v>23</v>
      </c>
      <c r="B24">
        <v>1</v>
      </c>
      <c r="C24" t="s">
        <v>91</v>
      </c>
      <c r="D24" t="s">
        <v>92</v>
      </c>
      <c r="E24" t="s">
        <v>93</v>
      </c>
      <c r="G24" t="s">
        <v>91</v>
      </c>
      <c r="H24" t="s">
        <v>94</v>
      </c>
      <c r="I24" t="s">
        <v>95</v>
      </c>
      <c r="J24" t="s">
        <v>25</v>
      </c>
      <c r="K24" s="1" t="str">
        <f t="shared" si="2"/>
        <v>https://www.lcsc.com/product-detail/C6186.html</v>
      </c>
      <c r="L24" t="s">
        <v>141</v>
      </c>
      <c r="M24" t="s">
        <v>91</v>
      </c>
    </row>
    <row r="25" spans="1:13" x14ac:dyDescent="0.25">
      <c r="A25">
        <v>24</v>
      </c>
      <c r="B25">
        <v>1</v>
      </c>
      <c r="C25" t="s">
        <v>96</v>
      </c>
      <c r="D25" t="s">
        <v>97</v>
      </c>
      <c r="E25" t="s">
        <v>98</v>
      </c>
      <c r="G25" t="s">
        <v>96</v>
      </c>
      <c r="H25" t="s">
        <v>99</v>
      </c>
      <c r="I25" t="s">
        <v>100</v>
      </c>
      <c r="J25" t="s">
        <v>25</v>
      </c>
      <c r="K25" s="1" t="str">
        <f>HYPERLINK(_xlfn.TEXTJOIN("",TRUE,"https://www.lcsc.com/product-detail/",I25,".html"))</f>
        <v>https://www.lcsc.com/product-detail/C41935536.html</v>
      </c>
    </row>
    <row r="26" spans="1:13" x14ac:dyDescent="0.25">
      <c r="A26">
        <v>25</v>
      </c>
      <c r="B26">
        <v>2</v>
      </c>
      <c r="C26" t="s">
        <v>101</v>
      </c>
      <c r="D26" t="s">
        <v>102</v>
      </c>
      <c r="E26" t="s">
        <v>103</v>
      </c>
      <c r="G26" t="s">
        <v>101</v>
      </c>
      <c r="H26" t="s">
        <v>104</v>
      </c>
      <c r="I26" t="s">
        <v>105</v>
      </c>
      <c r="J26" t="s">
        <v>25</v>
      </c>
      <c r="K26" s="1" t="str">
        <f t="shared" si="2"/>
        <v>https://www.lcsc.com/product-detail/C474882.html</v>
      </c>
      <c r="L26" t="s">
        <v>117</v>
      </c>
      <c r="M26" t="s">
        <v>132</v>
      </c>
    </row>
    <row r="27" spans="1:13" x14ac:dyDescent="0.25">
      <c r="A27">
        <v>26</v>
      </c>
      <c r="B27">
        <v>1</v>
      </c>
      <c r="C27" t="s">
        <v>106</v>
      </c>
      <c r="D27" t="s">
        <v>107</v>
      </c>
      <c r="E27" t="s">
        <v>108</v>
      </c>
      <c r="G27" t="s">
        <v>106</v>
      </c>
      <c r="H27" t="s">
        <v>109</v>
      </c>
      <c r="I27" t="s">
        <v>110</v>
      </c>
      <c r="J27" t="s">
        <v>25</v>
      </c>
      <c r="K27" s="1" t="str">
        <f t="shared" si="2"/>
        <v>https://www.lcsc.com/product-detail/C165948.html</v>
      </c>
      <c r="L27" s="1" t="s">
        <v>138</v>
      </c>
      <c r="M27" t="s">
        <v>137</v>
      </c>
    </row>
    <row r="28" spans="1:13" x14ac:dyDescent="0.25">
      <c r="A28">
        <v>27</v>
      </c>
      <c r="B28">
        <v>1</v>
      </c>
      <c r="C28" t="s">
        <v>111</v>
      </c>
      <c r="D28" t="s">
        <v>112</v>
      </c>
      <c r="E28" t="s">
        <v>113</v>
      </c>
      <c r="F28" t="s">
        <v>111</v>
      </c>
      <c r="G28" t="s">
        <v>114</v>
      </c>
      <c r="H28" t="s">
        <v>115</v>
      </c>
      <c r="I28" t="s">
        <v>116</v>
      </c>
      <c r="J28" t="s">
        <v>25</v>
      </c>
      <c r="K28" s="1" t="str">
        <f t="shared" si="2"/>
        <v>https://www.lcsc.com/product-detail/C2682775.html</v>
      </c>
      <c r="L28" t="s">
        <v>139</v>
      </c>
      <c r="M28" t="s">
        <v>140</v>
      </c>
    </row>
  </sheetData>
  <hyperlinks>
    <hyperlink ref="I4" r:id="rId1" tooltip="C1620" display="https://www.lcsc.com/product-detail/C1620.html?s_z=s_Passives%257CCapacitors%257CCeramic%2520Capacitors" xr:uid="{DCFD2741-B3AA-4963-A522-685B5BC33047}"/>
    <hyperlink ref="I9" r:id="rId2" tooltip="C53084491" display="https://www.lcsc.com/product-detail/C53084491.html?s_z=s_Passives%257CCapacitors%257CCeramic%2520Capacitors" xr:uid="{97B27B18-9B19-439B-94CD-70A3EA30588C}"/>
    <hyperlink ref="I16" r:id="rId3" tooltip="C2907113" display="https://www.lcsc.com/product-detail/C2907113.html?s_z=s_Passives%257CResistors%257CChip%2520Resistor%2520-%2520Surface%2520Mount" xr:uid="{63781B43-3F6D-448A-A2D5-3F37E346DF98}"/>
    <hyperlink ref="I17" r:id="rId4" tooltip="C2907044" display="https://www.lcsc.com/product-detail/C2907044.html?s_z=s_Passives%257CResistors%257CChip%2520Resistor%2520-%2520Surface%2520Mount" xr:uid="{3EAB2369-A445-4BF9-9187-EE12DD61A1C8}"/>
    <hyperlink ref="I14" r:id="rId5" tooltip="C2930027" display="https://www.lcsc.com/product-detail/C2930027.html?s_z=s_Passives%257CResistors%257CChip%2520Resistor%2520-%2520Surface%2520Mount" xr:uid="{137F945A-2281-47FB-980D-E45FDF415F83}"/>
    <hyperlink ref="I15" r:id="rId6" tooltip="C2907088" display="https://www.lcsc.com/product-detail/C2907088.html?s_z=s_Passives%257CResistors%257CChip%2520Resistor%2520-%2520Surface%2520Mount" xr:uid="{2A9B2E54-E29A-4E10-84AF-CCD88A3AD06D}"/>
    <hyperlink ref="I18" r:id="rId7" tooltip="C2907129" display="https://www.lcsc.com/product-detail/C2907129.html?s_z=s_Passives%257CResistors%257CChip%2520Resistor%2520-%2520Surface%2520Mount" xr:uid="{81922A84-DC5A-4D7B-9F58-924CCEFFBE48}"/>
    <hyperlink ref="I19" r:id="rId8" tooltip="C2907096" display="https://www.lcsc.com/product-detail/C2907096.html?s_z=s_Passives%257CResistors%257CChip%2520Resistor%2520-%2520Surface%2520Mount" xr:uid="{B74EB20B-DEEE-443C-A351-0BF3A6C4CD77}"/>
    <hyperlink ref="L27" r:id="rId9" xr:uid="{49EC64C2-53B3-4FD1-8AB8-F0EC82756CC8}"/>
    <hyperlink ref="I11" r:id="rId10" tooltip="C492422" display="https://www.lcsc.com/product-detail/C492422.html" xr:uid="{F3D0359F-2C4D-4CA7-9CB0-4725738F087A}"/>
  </hyperlinks>
  <pageMargins left="0.7" right="0.7" top="0.75" bottom="0.75" header="0.3" footer="0.3"/>
  <pageSetup orientation="portrait" r:id="rId11"/>
  <ignoredErrors>
    <ignoredError sqref="M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BOM_MASTER_Schematic1_2026-04-0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Z</cp:lastModifiedBy>
  <dcterms:created xsi:type="dcterms:W3CDTF">2026-04-03T18:38:42Z</dcterms:created>
  <dcterms:modified xsi:type="dcterms:W3CDTF">2026-04-03T18:38:42Z</dcterms:modified>
</cp:coreProperties>
</file>